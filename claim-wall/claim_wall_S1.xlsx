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ries" sheetId="1" state="visible" r:id="rId3"/>
    <sheet name="Claims" sheetId="2" state="visible" r:id="rId4"/>
    <sheet name="Summary" sheetId="3" state="visible" r:id="rId5"/>
    <sheet name="Notes" sheetId="4" state="visible" r:id="rId6"/>
  </sheets>
  <definedNames>
    <definedName function="false" hidden="true" localSheetId="0" name="_xlnm._FilterDatabase" vbProcedure="false">Entries!$A$1:$I$40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<sst xmlns="http://schemas.openxmlformats.org/spreadsheetml/2006/main" count="296" uniqueCount="137">
  <si>
    <t xml:space="preserve">Entry_ID</t>
  </si>
  <si>
    <t xml:space="preserve">Snapshot_ID</t>
  </si>
  <si>
    <t xml:space="preserve">Snapshot_Date</t>
  </si>
  <si>
    <t xml:space="preserve">Claim_No</t>
  </si>
  <si>
    <t xml:space="preserve">Claim_Label</t>
  </si>
  <si>
    <t xml:space="preserve">Discipline</t>
  </si>
  <si>
    <t xml:space="preserve">Card_Text</t>
  </si>
  <si>
    <t xml:space="preserve">Transcription_Confidence</t>
  </si>
  <si>
    <t xml:space="preserve">Transcription_Notes</t>
  </si>
  <si>
    <t xml:space="preserve">S1-001</t>
  </si>
  <si>
    <t xml:space="preserve">S1</t>
  </si>
  <si>
    <t xml:space="preserve">Quantity</t>
  </si>
  <si>
    <t xml:space="preserve">Psychology</t>
  </si>
  <si>
    <t xml:space="preserve">People don't want to be in crowded spaces.</t>
  </si>
  <si>
    <t xml:space="preserve">High</t>
  </si>
  <si>
    <t xml:space="preserve">S1-002</t>
  </si>
  <si>
    <t xml:space="preserve">Social media isolation (bad reputation given by influencers)</t>
  </si>
  <si>
    <t xml:space="preserve">First letter of 'media' obscured by pin.</t>
  </si>
  <si>
    <t xml:space="preserve">S1-003</t>
  </si>
  <si>
    <t xml:space="preserve">Economics</t>
  </si>
  <si>
    <t xml:space="preserve">They aren't economically viable. The don't make enough revenue. They don't break even, harder to stay in business.</t>
  </si>
  <si>
    <t xml:space="preserve">'harder to stay in business' added in smaller writing.</t>
  </si>
  <si>
    <t xml:space="preserve">S1-004</t>
  </si>
  <si>
    <t xml:space="preserve">Lack of funding because of corruption or bad location.</t>
  </si>
  <si>
    <t xml:space="preserve">'and' struck through and replaced with 'OR'.</t>
  </si>
  <si>
    <t xml:space="preserve">S1-005</t>
  </si>
  <si>
    <t xml:space="preserve">Decrease in budget: relocation of money to other sectors. Also politics.</t>
  </si>
  <si>
    <t xml:space="preserve">A short scribbled word struck through above 'also politics'.</t>
  </si>
  <si>
    <t xml:space="preserve">S1-006</t>
  </si>
  <si>
    <t xml:space="preserve">High cost of living means need to work instead of socilise.</t>
  </si>
  <si>
    <t xml:space="preserve">One word struck through after 'means'.</t>
  </si>
  <si>
    <t xml:space="preserve">S1-007</t>
  </si>
  <si>
    <t xml:space="preserve">More recognized brands like Starbucks receive more money than the local brands.</t>
  </si>
  <si>
    <t xml:space="preserve">S1-008</t>
  </si>
  <si>
    <t xml:space="preserve">Politics</t>
  </si>
  <si>
    <t xml:space="preserve">Conservative governments have underinvested in third places.</t>
  </si>
  <si>
    <t xml:space="preserve">S1-009</t>
  </si>
  <si>
    <t xml:space="preserve">Polarization</t>
  </si>
  <si>
    <t xml:space="preserve">Single word only.</t>
  </si>
  <si>
    <t xml:space="preserve">S1-010</t>
  </si>
  <si>
    <t xml:space="preserve">Usage</t>
  </si>
  <si>
    <t xml:space="preserve">Modernisation: physical 3d places are declining because virtual ones are more available &amp; other forms of entertainment.</t>
  </si>
  <si>
    <t xml:space="preserve">Heading 'Modernisation' written once, struck through, rewritten.</t>
  </si>
  <si>
    <t xml:space="preserve">S1-011</t>
  </si>
  <si>
    <t xml:space="preserve">People are becoming less collectively minded and more individualist. - social media, internet, talking to ai, modernisation - people don't have time for community because work.</t>
  </si>
  <si>
    <t xml:space="preserve">S1-012</t>
  </si>
  <si>
    <t xml:space="preserve">Covid Adaptation: people become more introverted cause they got used to lock down.</t>
  </si>
  <si>
    <t xml:space="preserve">S1-013</t>
  </si>
  <si>
    <t xml:space="preserve">Some third places propose things that ppl can make themselves (for cheaper) -&gt; coffee</t>
  </si>
  <si>
    <t xml:space="preserve">S1-014</t>
  </si>
  <si>
    <t xml:space="preserve">People are working more and for longer because of rising living costs and therefore don't have time to go to third places</t>
  </si>
  <si>
    <t xml:space="preserve">'longer' partly obscured by pin.</t>
  </si>
  <si>
    <t xml:space="preserve">S1-015</t>
  </si>
  <si>
    <t xml:space="preserve">There might [be] a hierarchy because nowadays third spaces are actually turning into business things eg: selling things; bringing ID</t>
  </si>
  <si>
    <t xml:space="preserve">Uncertain</t>
  </si>
  <si>
    <t xml:space="preserve">'[be]' is a transcriber insertion. Final word read as 'ID'; not certain.</t>
  </si>
  <si>
    <t xml:space="preserve">S1-016</t>
  </si>
  <si>
    <t xml:space="preserve">Economics: Less disposable income for ticketed third spaces (museums etc)</t>
  </si>
  <si>
    <t xml:space="preserve">One word struck through after 'disposable'.</t>
  </si>
  <si>
    <t xml:space="preserve">S1-017</t>
  </si>
  <si>
    <t xml:space="preserve">After math of political polecies from [Covid]</t>
  </si>
  <si>
    <t xml:space="preserve">'Politics,' written above 'political'. Final word most likely 'Covid' but not certain.</t>
  </si>
  <si>
    <t xml:space="preserve">S1-018</t>
  </si>
  <si>
    <t xml:space="preserve">Less funding for communal incentives, like youth groups. More right wing parties are winning elections. And this is not something they prioritise. If you [have?] the money.</t>
  </si>
  <si>
    <t xml:space="preserve">Final sentence not reliably legible.</t>
  </si>
  <si>
    <t xml:space="preserve">S1-019</t>
  </si>
  <si>
    <t xml:space="preserve">Outcomes</t>
  </si>
  <si>
    <t xml:space="preserve">Social anxiety and stress</t>
  </si>
  <si>
    <t xml:space="preserve">S1-020</t>
  </si>
  <si>
    <t xml:space="preserve">Social media massive consumption. Because people don't feel like they want to socialize anymore physically. &amp; expectation</t>
  </si>
  <si>
    <t xml:space="preserve">S1-021</t>
  </si>
  <si>
    <t xml:space="preserve">Workers earning a minimum wage is leading to demotivation.</t>
  </si>
  <si>
    <t xml:space="preserve">S1-022</t>
  </si>
  <si>
    <t xml:space="preserve">Inflation</t>
  </si>
  <si>
    <t xml:space="preserve">S1-023</t>
  </si>
  <si>
    <t xml:space="preserve">The government feels like people go to third places to plan revolutions.</t>
  </si>
  <si>
    <t xml:space="preserve">A faint second line below the main text is not legible.</t>
  </si>
  <si>
    <t xml:space="preserve">S1-024</t>
  </si>
  <si>
    <t xml:space="preserve">Polarization, which can make people['s lives] spread into their [own] bubble.</t>
  </si>
  <si>
    <t xml:space="preserve">Word order and several words uncertain; bracketed words are best guesses.</t>
  </si>
  <si>
    <t xml:space="preserve">S1-025</t>
  </si>
  <si>
    <t xml:space="preserve">Different political parties have different budget priorities. Public goods.</t>
  </si>
  <si>
    <t xml:space="preserve">'Public goods' written separately below.</t>
  </si>
  <si>
    <t xml:space="preserve">S1-026</t>
  </si>
  <si>
    <t xml:space="preserve">Government increasing taxes.</t>
  </si>
  <si>
    <t xml:space="preserve">S1-027</t>
  </si>
  <si>
    <t xml:space="preserve">Quality</t>
  </si>
  <si>
    <t xml:space="preserve">People are more introverted and so socialise less.</t>
  </si>
  <si>
    <t xml:space="preserve">S1-028</t>
  </si>
  <si>
    <t xml:space="preserve">The interior design is not for everyone, like the type music.</t>
  </si>
  <si>
    <t xml:space="preserve">'of' struck through between 'type' and 'music'.</t>
  </si>
  <si>
    <t xml:space="preserve">S1-029</t>
  </si>
  <si>
    <t xml:space="preserve">There is not a neutral surrounding so everyone can feel comfortable. (Low-profile)</t>
  </si>
  <si>
    <t xml:space="preserve">S1-030</t>
  </si>
  <si>
    <t xml:space="preserve">People are more pessimist and there [are] less playful</t>
  </si>
  <si>
    <t xml:space="preserve">'pessimist' is the most likely reading; '[are]' inserted.</t>
  </si>
  <si>
    <t xml:space="preserve">S1-031</t>
  </si>
  <si>
    <t xml:space="preserve">Technology replaces conversations as an activity</t>
  </si>
  <si>
    <t xml:space="preserve">S1-032</t>
  </si>
  <si>
    <t xml:space="preserve">Club's/Leisure centre memberships are way to expensive. They don't represent what they use to in terms of connections and wealth. People don't use all the things that they offer so they</t>
  </si>
  <si>
    <t xml:space="preserve">Card ends mid-sentence.</t>
  </si>
  <si>
    <t xml:space="preserve">S1-033</t>
  </si>
  <si>
    <t xml:space="preserve">The Deterioration.</t>
  </si>
  <si>
    <t xml:space="preserve">No further text on card.</t>
  </si>
  <si>
    <t xml:space="preserve">S1-034</t>
  </si>
  <si>
    <t xml:space="preserve">You can't really come and go as you please if you have to pay for it. (So there is no neutral ground)</t>
  </si>
  <si>
    <t xml:space="preserve">S1-035</t>
  </si>
  <si>
    <t xml:space="preserve">Less of a leveller because of increased polarization</t>
  </si>
  <si>
    <t xml:space="preserve">S1-036</t>
  </si>
  <si>
    <t xml:space="preserve">The increase of polarization (Right x Left)</t>
  </si>
  <si>
    <t xml:space="preserve">Small illegible mark in lower-left corner (possibly 'L/' or '41').</t>
  </si>
  <si>
    <t xml:space="preserve">S1-037</t>
  </si>
  <si>
    <t xml:space="preserve">Overcommercialization causes the third places to focus on profit.</t>
  </si>
  <si>
    <t xml:space="preserve">S1-038</t>
  </si>
  <si>
    <t xml:space="preserve">Capitalism makes it exclusive to a certain group of people.</t>
  </si>
  <si>
    <t xml:space="preserve">S1-039</t>
  </si>
  <si>
    <t xml:space="preserve">F. Quality of event. Which events are being offer.</t>
  </si>
  <si>
    <t xml:space="preserve">Standalone 'F' at start, meaning unclear. Word between 'Quality' and 'event' under pin; 'of' likely.</t>
  </si>
  <si>
    <t xml:space="preserve">Claim_Text (as written on board)</t>
  </si>
  <si>
    <t xml:space="preserve">The # of third places is declining (quantity)</t>
  </si>
  <si>
    <t xml:space="preserve">People use third places less than they did before (usage)</t>
  </si>
  <si>
    <t xml:space="preserve">Outcomes of third places are worsening for social/community (outcomes)</t>
  </si>
  <si>
    <t xml:space="preserve">Remaining places exhibit fewer third-place characteristics (quality)</t>
  </si>
  <si>
    <t xml:space="preserve">Entries per claim and discipline (all snapshots unless filtered by Snapshot_ID in B1)</t>
  </si>
  <si>
    <t xml:space="preserve">Snapshot_ID:</t>
  </si>
  <si>
    <t xml:space="preserve">Claim</t>
  </si>
  <si>
    <t xml:space="preserve">Total</t>
  </si>
  <si>
    <t xml:space="preserve">1. Quantity</t>
  </si>
  <si>
    <t xml:space="preserve">2. Usage</t>
  </si>
  <si>
    <t xml:space="preserve">3. Outcomes</t>
  </si>
  <si>
    <t xml:space="preserve">4. Quality</t>
  </si>
  <si>
    <t xml:space="preserve">Source: transcribed from photographs of the physical claim wall (snapshot S1). Snapshot date not recorded; enter it in Entries!C.</t>
  </si>
  <si>
    <t xml:space="preserve">Card_Text is verbatim, with student spelling and grammar retained. Square brackets [ ] mark transcriber insertions or best-guess readings.</t>
  </si>
  <si>
    <t xml:space="preserve">Struck-through words are omitted from Card_Text and recorded in Transcription_Notes.</t>
  </si>
  <si>
    <t xml:space="preserve">Transcription_Confidence = 'Uncertain' where any part of the card could not be read reliably. Do not treat bracketed words as student text.</t>
  </si>
  <si>
    <t xml:space="preserve">Adding a later snapshot: append rows with a new Snapshot_ID (e.g. S2) and Entry_IDs prefixed accordingly (S2-001...). Change Summary!B2 (yellow cell) to view counts for that snapshot.</t>
  </si>
  <si>
    <t xml:space="preserve">Not captured: a pink card at the top-left corner of the board, outside the grid, was cut off in all photographs.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</si>
</sst>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C00000"/>
      <name val="Arial"/>
      <family val="0"/>
      <charset val="1"/>
    </font>
    <font>
      <b val="true"/>
      <sz val="11"/>
      <name val="Arial"/>
      <family val="0"/>
      <charset val="1"/>
    </font>
    <font>
      <sz val="11"/>
      <name val="Arial"/>
      <family val="0"/>
      <charset val="1"/>
    </font>
    <font>
      <sz val="11"/>
      <color rgb="FF0000FF"/>
      <name val="Arial"/>
      <family val="0"/>
      <charset val="1"/>
    </font>
    <font>
      <b val="true"/>
      <sz val="10"/>
      <name val="Arial"/>
      <family val="0"/>
      <charset val="1"/>
    </font>
  </fonts>
  <fills count="7">
    <fill>
      <patternFill patternType="none"/>
    </fill>
    <fill>
      <patternFill patternType="gray125"/>
    </fill>
    <fill>
      <patternFill patternType="solid">
        <fgColor rgb="FF1F3A4D"/>
        <bgColor rgb="FF003366"/>
      </patternFill>
    </fill>
    <fill>
      <patternFill patternType="solid">
        <fgColor rgb="FFF8D7D7"/>
        <bgColor rgb="FFF9CBA7"/>
      </patternFill>
    </fill>
    <fill>
      <patternFill patternType="solid">
        <fgColor rgb="FFFFF2B3"/>
        <bgColor rgb="FFFFFF99"/>
      </patternFill>
    </fill>
    <fill>
      <patternFill patternType="solid">
        <fgColor rgb="FFF9CBA7"/>
        <bgColor rgb="FFF8D7D7"/>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
      <fill>
        <patternFill patternType="solid">
          <fgColor rgb="FFF8D7D7"/>
          <bgColor rgb="FF000000"/>
        </patternFill>
      </fill>
    </dxf>
    <dxf>
      <fill>
        <patternFill patternType="solid">
          <fgColor rgb="FFF9CBA7"/>
          <bgColor rgb="FF000000"/>
        </patternFill>
      </fill>
    </dxf>
    <dxf>
      <fill>
        <patternFill patternType="solid">
          <fgColor rgb="FFFFF2B3"/>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B3"/>
      <rgbColor rgb="FFCCFFFF"/>
      <rgbColor rgb="FF660066"/>
      <rgbColor rgb="FFFF8080"/>
      <rgbColor rgb="FF0066CC"/>
      <rgbColor rgb="FFF8D7D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9CBA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3"/>
    <col collapsed="false" customWidth="true" hidden="false" outlineLevel="0" max="4" min="4" style="0" width="9"/>
    <col collapsed="false" customWidth="true" hidden="false" outlineLevel="0" max="5" min="5" style="0" width="11"/>
    <col collapsed="false" customWidth="true" hidden="false" outlineLevel="0" max="6" min="6" style="0" width="12"/>
    <col collapsed="false" customWidth="true" hidden="false" outlineLevel="0" max="7" min="7" style="0" width="70"/>
    <col collapsed="false" customWidth="true" hidden="false" outlineLevel="0" max="8" min="8" style="0" width="14"/>
    <col collapsed="false" customWidth="true" hidden="false" outlineLevel="0" max="9" min="9" style="0" width="50"/>
  </cols>
  <sheetData>
    <row r="1" customFormat="false" ht="39.5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
        <v>9</v>
      </c>
      <c r="B2" s="2" t="s">
        <v>10</v>
      </c>
      <c r="C2" s="2"/>
      <c r="D2" s="2" t="n">
        <v>1</v>
      </c>
      <c r="E2" s="2" t="s">
        <v>11</v>
      </c>
      <c r="F2" s="3" t="s">
        <v>12</v>
      </c>
      <c r="G2" s="2" t="s">
        <v>13</v>
      </c>
      <c r="H2" s="2" t="s">
        <v>14</v>
      </c>
      <c r="I2" s="2"/>
    </row>
    <row r="3" customFormat="false" ht="15" hidden="false" customHeight="false" outlineLevel="0" collapsed="false">
      <c r="A3" s="2" t="s">
        <v>15</v>
      </c>
      <c r="B3" s="2" t="s">
        <v>10</v>
      </c>
      <c r="C3" s="2"/>
      <c r="D3" s="2" t="n">
        <v>1</v>
      </c>
      <c r="E3" s="2" t="s">
        <v>11</v>
      </c>
      <c r="F3" s="3" t="s">
        <v>12</v>
      </c>
      <c r="G3" s="2" t="s">
        <v>16</v>
      </c>
      <c r="H3" s="2" t="s">
        <v>14</v>
      </c>
      <c r="I3" s="2" t="s">
        <v>17</v>
      </c>
    </row>
    <row r="4" customFormat="false" ht="23.85" hidden="false" customHeight="false" outlineLevel="0" collapsed="false">
      <c r="A4" s="2" t="s">
        <v>18</v>
      </c>
      <c r="B4" s="2" t="s">
        <v>10</v>
      </c>
      <c r="C4" s="2"/>
      <c r="D4" s="2" t="n">
        <v>1</v>
      </c>
      <c r="E4" s="2" t="s">
        <v>11</v>
      </c>
      <c r="F4" s="4" t="s">
        <v>19</v>
      </c>
      <c r="G4" s="2" t="s">
        <v>20</v>
      </c>
      <c r="H4" s="2" t="s">
        <v>14</v>
      </c>
      <c r="I4" s="2" t="s">
        <v>21</v>
      </c>
    </row>
    <row r="5" customFormat="false" ht="15" hidden="false" customHeight="false" outlineLevel="0" collapsed="false">
      <c r="A5" s="2" t="s">
        <v>22</v>
      </c>
      <c r="B5" s="2" t="s">
        <v>10</v>
      </c>
      <c r="C5" s="2"/>
      <c r="D5" s="2" t="n">
        <v>1</v>
      </c>
      <c r="E5" s="2" t="s">
        <v>11</v>
      </c>
      <c r="F5" s="4" t="s">
        <v>19</v>
      </c>
      <c r="G5" s="2" t="s">
        <v>23</v>
      </c>
      <c r="H5" s="2" t="s">
        <v>14</v>
      </c>
      <c r="I5" s="2" t="s">
        <v>24</v>
      </c>
    </row>
    <row r="6" customFormat="false" ht="15" hidden="false" customHeight="false" outlineLevel="0" collapsed="false">
      <c r="A6" s="2" t="s">
        <v>25</v>
      </c>
      <c r="B6" s="2" t="s">
        <v>10</v>
      </c>
      <c r="C6" s="2"/>
      <c r="D6" s="2" t="n">
        <v>1</v>
      </c>
      <c r="E6" s="2" t="s">
        <v>11</v>
      </c>
      <c r="F6" s="4" t="s">
        <v>19</v>
      </c>
      <c r="G6" s="2" t="s">
        <v>26</v>
      </c>
      <c r="H6" s="2" t="s">
        <v>14</v>
      </c>
      <c r="I6" s="2" t="s">
        <v>27</v>
      </c>
    </row>
    <row r="7" customFormat="false" ht="15" hidden="false" customHeight="false" outlineLevel="0" collapsed="false">
      <c r="A7" s="2" t="s">
        <v>28</v>
      </c>
      <c r="B7" s="2" t="s">
        <v>10</v>
      </c>
      <c r="C7" s="2"/>
      <c r="D7" s="2" t="n">
        <v>1</v>
      </c>
      <c r="E7" s="2" t="s">
        <v>11</v>
      </c>
      <c r="F7" s="4" t="s">
        <v>19</v>
      </c>
      <c r="G7" s="2" t="s">
        <v>29</v>
      </c>
      <c r="H7" s="2" t="s">
        <v>14</v>
      </c>
      <c r="I7" s="2" t="s">
        <v>30</v>
      </c>
    </row>
    <row r="8" customFormat="false" ht="15" hidden="false" customHeight="false" outlineLevel="0" collapsed="false">
      <c r="A8" s="2" t="s">
        <v>31</v>
      </c>
      <c r="B8" s="2" t="s">
        <v>10</v>
      </c>
      <c r="C8" s="2"/>
      <c r="D8" s="2" t="n">
        <v>1</v>
      </c>
      <c r="E8" s="2" t="s">
        <v>11</v>
      </c>
      <c r="F8" s="4" t="s">
        <v>19</v>
      </c>
      <c r="G8" s="2" t="s">
        <v>32</v>
      </c>
      <c r="H8" s="2" t="s">
        <v>14</v>
      </c>
      <c r="I8" s="2"/>
    </row>
    <row r="9" customFormat="false" ht="15" hidden="false" customHeight="false" outlineLevel="0" collapsed="false">
      <c r="A9" s="2" t="s">
        <v>33</v>
      </c>
      <c r="B9" s="2" t="s">
        <v>10</v>
      </c>
      <c r="C9" s="2"/>
      <c r="D9" s="2" t="n">
        <v>1</v>
      </c>
      <c r="E9" s="2" t="s">
        <v>11</v>
      </c>
      <c r="F9" s="5" t="s">
        <v>34</v>
      </c>
      <c r="G9" s="2" t="s">
        <v>35</v>
      </c>
      <c r="H9" s="2" t="s">
        <v>14</v>
      </c>
      <c r="I9" s="2"/>
    </row>
    <row r="10" customFormat="false" ht="15" hidden="false" customHeight="false" outlineLevel="0" collapsed="false">
      <c r="A10" s="2" t="s">
        <v>36</v>
      </c>
      <c r="B10" s="2" t="s">
        <v>10</v>
      </c>
      <c r="C10" s="2"/>
      <c r="D10" s="2" t="n">
        <v>1</v>
      </c>
      <c r="E10" s="2" t="s">
        <v>11</v>
      </c>
      <c r="F10" s="5" t="s">
        <v>34</v>
      </c>
      <c r="G10" s="2" t="s">
        <v>37</v>
      </c>
      <c r="H10" s="2" t="s">
        <v>14</v>
      </c>
      <c r="I10" s="2" t="s">
        <v>38</v>
      </c>
    </row>
    <row r="11" customFormat="false" ht="23.85" hidden="false" customHeight="false" outlineLevel="0" collapsed="false">
      <c r="A11" s="2" t="s">
        <v>39</v>
      </c>
      <c r="B11" s="2" t="s">
        <v>10</v>
      </c>
      <c r="C11" s="2"/>
      <c r="D11" s="2" t="n">
        <v>2</v>
      </c>
      <c r="E11" s="2" t="s">
        <v>40</v>
      </c>
      <c r="F11" s="3" t="s">
        <v>12</v>
      </c>
      <c r="G11" s="2" t="s">
        <v>41</v>
      </c>
      <c r="H11" s="2" t="s">
        <v>14</v>
      </c>
      <c r="I11" s="2" t="s">
        <v>42</v>
      </c>
    </row>
    <row r="12" customFormat="false" ht="35.05" hidden="false" customHeight="false" outlineLevel="0" collapsed="false">
      <c r="A12" s="2" t="s">
        <v>43</v>
      </c>
      <c r="B12" s="2" t="s">
        <v>10</v>
      </c>
      <c r="C12" s="2"/>
      <c r="D12" s="2" t="n">
        <v>2</v>
      </c>
      <c r="E12" s="2" t="s">
        <v>40</v>
      </c>
      <c r="F12" s="3" t="s">
        <v>12</v>
      </c>
      <c r="G12" s="2" t="s">
        <v>44</v>
      </c>
      <c r="H12" s="2" t="s">
        <v>14</v>
      </c>
      <c r="I12" s="2"/>
    </row>
    <row r="13" customFormat="false" ht="15" hidden="false" customHeight="false" outlineLevel="0" collapsed="false">
      <c r="A13" s="2" t="s">
        <v>45</v>
      </c>
      <c r="B13" s="2" t="s">
        <v>10</v>
      </c>
      <c r="C13" s="2"/>
      <c r="D13" s="2" t="n">
        <v>2</v>
      </c>
      <c r="E13" s="2" t="s">
        <v>40</v>
      </c>
      <c r="F13" s="3" t="s">
        <v>12</v>
      </c>
      <c r="G13" s="2" t="s">
        <v>46</v>
      </c>
      <c r="H13" s="2" t="s">
        <v>14</v>
      </c>
      <c r="I13" s="2"/>
    </row>
    <row r="14" customFormat="false" ht="23.85" hidden="false" customHeight="false" outlineLevel="0" collapsed="false">
      <c r="A14" s="2" t="s">
        <v>47</v>
      </c>
      <c r="B14" s="2" t="s">
        <v>10</v>
      </c>
      <c r="C14" s="2"/>
      <c r="D14" s="2" t="n">
        <v>2</v>
      </c>
      <c r="E14" s="2" t="s">
        <v>40</v>
      </c>
      <c r="F14" s="4" t="s">
        <v>19</v>
      </c>
      <c r="G14" s="2" t="s">
        <v>48</v>
      </c>
      <c r="H14" s="2" t="s">
        <v>14</v>
      </c>
      <c r="I14" s="2"/>
    </row>
    <row r="15" customFormat="false" ht="23.85" hidden="false" customHeight="false" outlineLevel="0" collapsed="false">
      <c r="A15" s="2" t="s">
        <v>49</v>
      </c>
      <c r="B15" s="2" t="s">
        <v>10</v>
      </c>
      <c r="C15" s="2"/>
      <c r="D15" s="2" t="n">
        <v>2</v>
      </c>
      <c r="E15" s="2" t="s">
        <v>40</v>
      </c>
      <c r="F15" s="4" t="s">
        <v>19</v>
      </c>
      <c r="G15" s="2" t="s">
        <v>50</v>
      </c>
      <c r="H15" s="2" t="s">
        <v>14</v>
      </c>
      <c r="I15" s="2" t="s">
        <v>51</v>
      </c>
    </row>
    <row r="16" customFormat="false" ht="23.85" hidden="false" customHeight="false" outlineLevel="0" collapsed="false">
      <c r="A16" s="2" t="s">
        <v>52</v>
      </c>
      <c r="B16" s="2" t="s">
        <v>10</v>
      </c>
      <c r="C16" s="2"/>
      <c r="D16" s="2" t="n">
        <v>2</v>
      </c>
      <c r="E16" s="2" t="s">
        <v>40</v>
      </c>
      <c r="F16" s="4" t="s">
        <v>19</v>
      </c>
      <c r="G16" s="2" t="s">
        <v>53</v>
      </c>
      <c r="H16" s="6" t="s">
        <v>54</v>
      </c>
      <c r="I16" s="2" t="s">
        <v>55</v>
      </c>
    </row>
    <row r="17" customFormat="false" ht="15" hidden="false" customHeight="false" outlineLevel="0" collapsed="false">
      <c r="A17" s="2" t="s">
        <v>56</v>
      </c>
      <c r="B17" s="2" t="s">
        <v>10</v>
      </c>
      <c r="C17" s="2"/>
      <c r="D17" s="2" t="n">
        <v>2</v>
      </c>
      <c r="E17" s="2" t="s">
        <v>40</v>
      </c>
      <c r="F17" s="4" t="s">
        <v>19</v>
      </c>
      <c r="G17" s="2" t="s">
        <v>57</v>
      </c>
      <c r="H17" s="2" t="s">
        <v>14</v>
      </c>
      <c r="I17" s="2" t="s">
        <v>58</v>
      </c>
    </row>
    <row r="18" customFormat="false" ht="23.85" hidden="false" customHeight="false" outlineLevel="0" collapsed="false">
      <c r="A18" s="2" t="s">
        <v>59</v>
      </c>
      <c r="B18" s="2" t="s">
        <v>10</v>
      </c>
      <c r="C18" s="2"/>
      <c r="D18" s="2" t="n">
        <v>2</v>
      </c>
      <c r="E18" s="2" t="s">
        <v>40</v>
      </c>
      <c r="F18" s="5" t="s">
        <v>34</v>
      </c>
      <c r="G18" s="2" t="s">
        <v>60</v>
      </c>
      <c r="H18" s="6" t="s">
        <v>54</v>
      </c>
      <c r="I18" s="2" t="s">
        <v>61</v>
      </c>
    </row>
    <row r="19" customFormat="false" ht="23.85" hidden="false" customHeight="false" outlineLevel="0" collapsed="false">
      <c r="A19" s="2" t="s">
        <v>62</v>
      </c>
      <c r="B19" s="2" t="s">
        <v>10</v>
      </c>
      <c r="C19" s="2"/>
      <c r="D19" s="2" t="n">
        <v>2</v>
      </c>
      <c r="E19" s="2" t="s">
        <v>40</v>
      </c>
      <c r="F19" s="5" t="s">
        <v>34</v>
      </c>
      <c r="G19" s="2" t="s">
        <v>63</v>
      </c>
      <c r="H19" s="6" t="s">
        <v>54</v>
      </c>
      <c r="I19" s="2" t="s">
        <v>64</v>
      </c>
    </row>
    <row r="20" customFormat="false" ht="15" hidden="false" customHeight="false" outlineLevel="0" collapsed="false">
      <c r="A20" s="2" t="s">
        <v>65</v>
      </c>
      <c r="B20" s="2" t="s">
        <v>10</v>
      </c>
      <c r="C20" s="2"/>
      <c r="D20" s="2" t="n">
        <v>3</v>
      </c>
      <c r="E20" s="2" t="s">
        <v>66</v>
      </c>
      <c r="F20" s="3" t="s">
        <v>12</v>
      </c>
      <c r="G20" s="2" t="s">
        <v>67</v>
      </c>
      <c r="H20" s="2" t="s">
        <v>14</v>
      </c>
      <c r="I20" s="2"/>
    </row>
    <row r="21" customFormat="false" ht="23.85" hidden="false" customHeight="false" outlineLevel="0" collapsed="false">
      <c r="A21" s="2" t="s">
        <v>68</v>
      </c>
      <c r="B21" s="2" t="s">
        <v>10</v>
      </c>
      <c r="C21" s="2"/>
      <c r="D21" s="2" t="n">
        <v>3</v>
      </c>
      <c r="E21" s="2" t="s">
        <v>66</v>
      </c>
      <c r="F21" s="3" t="s">
        <v>12</v>
      </c>
      <c r="G21" s="2" t="s">
        <v>69</v>
      </c>
      <c r="H21" s="2" t="s">
        <v>14</v>
      </c>
      <c r="I21" s="2"/>
    </row>
    <row r="22" customFormat="false" ht="15" hidden="false" customHeight="false" outlineLevel="0" collapsed="false">
      <c r="A22" s="2" t="s">
        <v>70</v>
      </c>
      <c r="B22" s="2" t="s">
        <v>10</v>
      </c>
      <c r="C22" s="2"/>
      <c r="D22" s="2" t="n">
        <v>3</v>
      </c>
      <c r="E22" s="2" t="s">
        <v>66</v>
      </c>
      <c r="F22" s="4" t="s">
        <v>19</v>
      </c>
      <c r="G22" s="2" t="s">
        <v>71</v>
      </c>
      <c r="H22" s="2" t="s">
        <v>14</v>
      </c>
      <c r="I22" s="2"/>
    </row>
    <row r="23" customFormat="false" ht="15" hidden="false" customHeight="false" outlineLevel="0" collapsed="false">
      <c r="A23" s="2" t="s">
        <v>72</v>
      </c>
      <c r="B23" s="2" t="s">
        <v>10</v>
      </c>
      <c r="C23" s="2"/>
      <c r="D23" s="2" t="n">
        <v>3</v>
      </c>
      <c r="E23" s="2" t="s">
        <v>66</v>
      </c>
      <c r="F23" s="4" t="s">
        <v>19</v>
      </c>
      <c r="G23" s="2" t="s">
        <v>73</v>
      </c>
      <c r="H23" s="2" t="s">
        <v>14</v>
      </c>
      <c r="I23" s="2" t="s">
        <v>38</v>
      </c>
    </row>
    <row r="24" customFormat="false" ht="15" hidden="false" customHeight="false" outlineLevel="0" collapsed="false">
      <c r="A24" s="2" t="s">
        <v>74</v>
      </c>
      <c r="B24" s="2" t="s">
        <v>10</v>
      </c>
      <c r="C24" s="2"/>
      <c r="D24" s="2" t="n">
        <v>3</v>
      </c>
      <c r="E24" s="2" t="s">
        <v>66</v>
      </c>
      <c r="F24" s="5" t="s">
        <v>34</v>
      </c>
      <c r="G24" s="2" t="s">
        <v>75</v>
      </c>
      <c r="H24" s="6" t="s">
        <v>54</v>
      </c>
      <c r="I24" s="2" t="s">
        <v>76</v>
      </c>
    </row>
    <row r="25" customFormat="false" ht="23.85" hidden="false" customHeight="false" outlineLevel="0" collapsed="false">
      <c r="A25" s="2" t="s">
        <v>77</v>
      </c>
      <c r="B25" s="2" t="s">
        <v>10</v>
      </c>
      <c r="C25" s="2"/>
      <c r="D25" s="2" t="n">
        <v>3</v>
      </c>
      <c r="E25" s="2" t="s">
        <v>66</v>
      </c>
      <c r="F25" s="5" t="s">
        <v>34</v>
      </c>
      <c r="G25" s="2" t="s">
        <v>78</v>
      </c>
      <c r="H25" s="6" t="s">
        <v>54</v>
      </c>
      <c r="I25" s="2" t="s">
        <v>79</v>
      </c>
    </row>
    <row r="26" customFormat="false" ht="15" hidden="false" customHeight="false" outlineLevel="0" collapsed="false">
      <c r="A26" s="2" t="s">
        <v>80</v>
      </c>
      <c r="B26" s="2" t="s">
        <v>10</v>
      </c>
      <c r="C26" s="2"/>
      <c r="D26" s="2" t="n">
        <v>3</v>
      </c>
      <c r="E26" s="2" t="s">
        <v>66</v>
      </c>
      <c r="F26" s="5" t="s">
        <v>34</v>
      </c>
      <c r="G26" s="2" t="s">
        <v>81</v>
      </c>
      <c r="H26" s="2" t="s">
        <v>14</v>
      </c>
      <c r="I26" s="2" t="s">
        <v>82</v>
      </c>
    </row>
    <row r="27" customFormat="false" ht="15" hidden="false" customHeight="false" outlineLevel="0" collapsed="false">
      <c r="A27" s="2" t="s">
        <v>83</v>
      </c>
      <c r="B27" s="2" t="s">
        <v>10</v>
      </c>
      <c r="C27" s="2"/>
      <c r="D27" s="2" t="n">
        <v>3</v>
      </c>
      <c r="E27" s="2" t="s">
        <v>66</v>
      </c>
      <c r="F27" s="5" t="s">
        <v>34</v>
      </c>
      <c r="G27" s="2" t="s">
        <v>84</v>
      </c>
      <c r="H27" s="2" t="s">
        <v>14</v>
      </c>
      <c r="I27" s="2"/>
    </row>
    <row r="28" customFormat="false" ht="15" hidden="false" customHeight="false" outlineLevel="0" collapsed="false">
      <c r="A28" s="2" t="s">
        <v>85</v>
      </c>
      <c r="B28" s="2" t="s">
        <v>10</v>
      </c>
      <c r="C28" s="2"/>
      <c r="D28" s="2" t="n">
        <v>4</v>
      </c>
      <c r="E28" s="2" t="s">
        <v>86</v>
      </c>
      <c r="F28" s="3" t="s">
        <v>12</v>
      </c>
      <c r="G28" s="2" t="s">
        <v>87</v>
      </c>
      <c r="H28" s="2" t="s">
        <v>14</v>
      </c>
      <c r="I28" s="2"/>
    </row>
    <row r="29" customFormat="false" ht="15" hidden="false" customHeight="false" outlineLevel="0" collapsed="false">
      <c r="A29" s="2" t="s">
        <v>88</v>
      </c>
      <c r="B29" s="2" t="s">
        <v>10</v>
      </c>
      <c r="C29" s="2"/>
      <c r="D29" s="2" t="n">
        <v>4</v>
      </c>
      <c r="E29" s="2" t="s">
        <v>86</v>
      </c>
      <c r="F29" s="3" t="s">
        <v>12</v>
      </c>
      <c r="G29" s="2" t="s">
        <v>89</v>
      </c>
      <c r="H29" s="2" t="s">
        <v>14</v>
      </c>
      <c r="I29" s="2" t="s">
        <v>90</v>
      </c>
    </row>
    <row r="30" customFormat="false" ht="15" hidden="false" customHeight="false" outlineLevel="0" collapsed="false">
      <c r="A30" s="2" t="s">
        <v>91</v>
      </c>
      <c r="B30" s="2" t="s">
        <v>10</v>
      </c>
      <c r="C30" s="2"/>
      <c r="D30" s="2" t="n">
        <v>4</v>
      </c>
      <c r="E30" s="2" t="s">
        <v>86</v>
      </c>
      <c r="F30" s="3" t="s">
        <v>12</v>
      </c>
      <c r="G30" s="2" t="s">
        <v>92</v>
      </c>
      <c r="H30" s="2" t="s">
        <v>14</v>
      </c>
      <c r="I30" s="2"/>
    </row>
    <row r="31" customFormat="false" ht="15" hidden="false" customHeight="false" outlineLevel="0" collapsed="false">
      <c r="A31" s="2" t="s">
        <v>93</v>
      </c>
      <c r="B31" s="2" t="s">
        <v>10</v>
      </c>
      <c r="C31" s="2"/>
      <c r="D31" s="2" t="n">
        <v>4</v>
      </c>
      <c r="E31" s="2" t="s">
        <v>86</v>
      </c>
      <c r="F31" s="3" t="s">
        <v>12</v>
      </c>
      <c r="G31" s="2" t="s">
        <v>94</v>
      </c>
      <c r="H31" s="6" t="s">
        <v>54</v>
      </c>
      <c r="I31" s="2" t="s">
        <v>95</v>
      </c>
    </row>
    <row r="32" customFormat="false" ht="15" hidden="false" customHeight="false" outlineLevel="0" collapsed="false">
      <c r="A32" s="2" t="s">
        <v>96</v>
      </c>
      <c r="B32" s="2" t="s">
        <v>10</v>
      </c>
      <c r="C32" s="2"/>
      <c r="D32" s="2" t="n">
        <v>4</v>
      </c>
      <c r="E32" s="2" t="s">
        <v>86</v>
      </c>
      <c r="F32" s="3" t="s">
        <v>12</v>
      </c>
      <c r="G32" s="2" t="s">
        <v>97</v>
      </c>
      <c r="H32" s="2" t="s">
        <v>14</v>
      </c>
      <c r="I32" s="2"/>
    </row>
    <row r="33" customFormat="false" ht="35.05" hidden="false" customHeight="false" outlineLevel="0" collapsed="false">
      <c r="A33" s="2" t="s">
        <v>98</v>
      </c>
      <c r="B33" s="2" t="s">
        <v>10</v>
      </c>
      <c r="C33" s="2"/>
      <c r="D33" s="2" t="n">
        <v>4</v>
      </c>
      <c r="E33" s="2" t="s">
        <v>86</v>
      </c>
      <c r="F33" s="4" t="s">
        <v>19</v>
      </c>
      <c r="G33" s="2" t="s">
        <v>99</v>
      </c>
      <c r="H33" s="2" t="s">
        <v>14</v>
      </c>
      <c r="I33" s="2" t="s">
        <v>100</v>
      </c>
    </row>
    <row r="34" customFormat="false" ht="15" hidden="false" customHeight="false" outlineLevel="0" collapsed="false">
      <c r="A34" s="2" t="s">
        <v>101</v>
      </c>
      <c r="B34" s="2" t="s">
        <v>10</v>
      </c>
      <c r="C34" s="2"/>
      <c r="D34" s="2" t="n">
        <v>4</v>
      </c>
      <c r="E34" s="2" t="s">
        <v>86</v>
      </c>
      <c r="F34" s="4" t="s">
        <v>19</v>
      </c>
      <c r="G34" s="2" t="s">
        <v>102</v>
      </c>
      <c r="H34" s="2" t="s">
        <v>14</v>
      </c>
      <c r="I34" s="2" t="s">
        <v>103</v>
      </c>
    </row>
    <row r="35" customFormat="false" ht="23.85" hidden="false" customHeight="false" outlineLevel="0" collapsed="false">
      <c r="A35" s="2" t="s">
        <v>104</v>
      </c>
      <c r="B35" s="2" t="s">
        <v>10</v>
      </c>
      <c r="C35" s="2"/>
      <c r="D35" s="2" t="n">
        <v>4</v>
      </c>
      <c r="E35" s="2" t="s">
        <v>86</v>
      </c>
      <c r="F35" s="4" t="s">
        <v>19</v>
      </c>
      <c r="G35" s="2" t="s">
        <v>105</v>
      </c>
      <c r="H35" s="2" t="s">
        <v>14</v>
      </c>
      <c r="I35" s="2"/>
    </row>
    <row r="36" customFormat="false" ht="15" hidden="false" customHeight="false" outlineLevel="0" collapsed="false">
      <c r="A36" s="2" t="s">
        <v>106</v>
      </c>
      <c r="B36" s="2" t="s">
        <v>10</v>
      </c>
      <c r="C36" s="2"/>
      <c r="D36" s="2" t="n">
        <v>4</v>
      </c>
      <c r="E36" s="2" t="s">
        <v>86</v>
      </c>
      <c r="F36" s="5" t="s">
        <v>34</v>
      </c>
      <c r="G36" s="2" t="s">
        <v>107</v>
      </c>
      <c r="H36" s="2" t="s">
        <v>14</v>
      </c>
      <c r="I36" s="2"/>
    </row>
    <row r="37" customFormat="false" ht="15" hidden="false" customHeight="false" outlineLevel="0" collapsed="false">
      <c r="A37" s="2" t="s">
        <v>108</v>
      </c>
      <c r="B37" s="2" t="s">
        <v>10</v>
      </c>
      <c r="C37" s="2"/>
      <c r="D37" s="2" t="n">
        <v>4</v>
      </c>
      <c r="E37" s="2" t="s">
        <v>86</v>
      </c>
      <c r="F37" s="5" t="s">
        <v>34</v>
      </c>
      <c r="G37" s="2" t="s">
        <v>109</v>
      </c>
      <c r="H37" s="2" t="s">
        <v>14</v>
      </c>
      <c r="I37" s="2" t="s">
        <v>110</v>
      </c>
    </row>
    <row r="38" customFormat="false" ht="15" hidden="false" customHeight="false" outlineLevel="0" collapsed="false">
      <c r="A38" s="2" t="s">
        <v>111</v>
      </c>
      <c r="B38" s="2" t="s">
        <v>10</v>
      </c>
      <c r="C38" s="2"/>
      <c r="D38" s="2" t="n">
        <v>4</v>
      </c>
      <c r="E38" s="2" t="s">
        <v>86</v>
      </c>
      <c r="F38" s="5" t="s">
        <v>34</v>
      </c>
      <c r="G38" s="2" t="s">
        <v>112</v>
      </c>
      <c r="H38" s="2" t="s">
        <v>14</v>
      </c>
      <c r="I38" s="2"/>
    </row>
    <row r="39" customFormat="false" ht="15" hidden="false" customHeight="false" outlineLevel="0" collapsed="false">
      <c r="A39" s="2" t="s">
        <v>113</v>
      </c>
      <c r="B39" s="2" t="s">
        <v>10</v>
      </c>
      <c r="C39" s="2"/>
      <c r="D39" s="2" t="n">
        <v>4</v>
      </c>
      <c r="E39" s="2" t="s">
        <v>86</v>
      </c>
      <c r="F39" s="5" t="s">
        <v>34</v>
      </c>
      <c r="G39" s="2" t="s">
        <v>114</v>
      </c>
      <c r="H39" s="2" t="s">
        <v>14</v>
      </c>
      <c r="I39" s="2"/>
    </row>
    <row r="40" customFormat="false" ht="23.85" hidden="false" customHeight="false" outlineLevel="0" collapsed="false">
      <c r="A40" s="2" t="s">
        <v>115</v>
      </c>
      <c r="B40" s="2" t="s">
        <v>10</v>
      </c>
      <c r="C40" s="2"/>
      <c r="D40" s="2" t="n">
        <v>4</v>
      </c>
      <c r="E40" s="2" t="s">
        <v>86</v>
      </c>
      <c r="F40" s="5" t="s">
        <v>34</v>
      </c>
      <c r="G40" s="2" t="s">
        <v>116</v>
      </c>
      <c r="H40" s="6" t="s">
        <v>54</v>
      </c>
      <c r="I40" s="2" t="s">
        <v>117</v>
      </c>
    </row>
  </sheetData>
  <autoFilter ref="A1:I40"/>
  <dataValidations count="2">
    <dataValidation allowBlank="true" errorStyle="stop" operator="between" showDropDown="false" showErrorMessage="false" showInputMessage="false" sqref="H2:H500" type="list">
      <formula1>"High,Uncertain"</formula1>
      <formula2>0</formula2>
    </dataValidation>
    <dataValidation allowBlank="true" errorStyle="stop" operator="between" showDropDown="false" showErrorMessage="false" showInputMessage="false" sqref="F2:F500" type="list">
      <formula1>"Psychology,Economics,Politics"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70"/>
  </cols>
  <sheetData>
    <row r="1" customFormat="false" ht="15" hidden="false" customHeight="false" outlineLevel="0" collapsed="false">
      <c r="A1" s="7" t="s">
        <v>3</v>
      </c>
      <c r="B1" s="7" t="s">
        <v>4</v>
      </c>
      <c r="C1" s="7" t="s">
        <v>118</v>
      </c>
    </row>
    <row r="2" customFormat="false" ht="15" hidden="false" customHeight="false" outlineLevel="0" collapsed="false">
      <c r="A2" s="2" t="n">
        <v>1</v>
      </c>
      <c r="B2" s="2" t="s">
        <v>11</v>
      </c>
      <c r="C2" s="2" t="s">
        <v>119</v>
      </c>
    </row>
    <row r="3" customFormat="false" ht="15" hidden="false" customHeight="false" outlineLevel="0" collapsed="false">
      <c r="A3" s="2" t="n">
        <v>2</v>
      </c>
      <c r="B3" s="2" t="s">
        <v>40</v>
      </c>
      <c r="C3" s="2" t="s">
        <v>120</v>
      </c>
    </row>
    <row r="4" customFormat="false" ht="15" hidden="false" customHeight="false" outlineLevel="0" collapsed="false">
      <c r="A4" s="2" t="n">
        <v>3</v>
      </c>
      <c r="B4" s="2" t="s">
        <v>66</v>
      </c>
      <c r="C4" s="2" t="s">
        <v>121</v>
      </c>
    </row>
    <row r="5" customFormat="false" ht="15" hidden="false" customHeight="false" outlineLevel="0" collapsed="false">
      <c r="A5" s="2" t="n">
        <v>4</v>
      </c>
      <c r="B5" s="2" t="s">
        <v>86</v>
      </c>
      <c r="C5" s="2"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6" min="2" style="0" width="12"/>
  </cols>
  <sheetData>
    <row r="1" customFormat="false" ht="15" hidden="false" customHeight="false" outlineLevel="0" collapsed="false">
      <c r="A1" s="8" t="s">
        <v>123</v>
      </c>
    </row>
    <row r="2" customFormat="false" ht="15" hidden="false" customHeight="false" outlineLevel="0" collapsed="false">
      <c r="A2" s="9" t="s">
        <v>124</v>
      </c>
      <c r="B2" s="10" t="s">
        <v>10</v>
      </c>
    </row>
    <row r="4" customFormat="false" ht="15" hidden="false" customHeight="false" outlineLevel="0" collapsed="false">
      <c r="A4" s="7" t="s">
        <v>125</v>
      </c>
      <c r="B4" s="7" t="s">
        <v>12</v>
      </c>
      <c r="C4" s="7" t="s">
        <v>19</v>
      </c>
      <c r="D4" s="7" t="s">
        <v>34</v>
      </c>
      <c r="E4" s="7" t="s">
        <v>126</v>
      </c>
      <c r="F4" s="7" t="s">
        <v>54</v>
      </c>
    </row>
    <row r="5" customFormat="false" ht="15" hidden="false" customHeight="false" outlineLevel="0" collapsed="false">
      <c r="A5" s="11" t="s">
        <v>127</v>
      </c>
      <c r="B5" s="11" t="n">
        <f aca="false">COUNTIFS(Entries!$D:$D,1,Entries!$F:$F,B$4,Entries!$B:$B,$B$2)</f>
        <v>2</v>
      </c>
      <c r="C5" s="11" t="n">
        <f aca="false">COUNTIFS(Entries!$D:$D,1,Entries!$F:$F,C$4,Entries!$B:$B,$B$2)</f>
        <v>5</v>
      </c>
      <c r="D5" s="11" t="n">
        <f aca="false">COUNTIFS(Entries!$D:$D,1,Entries!$F:$F,D$4,Entries!$B:$B,$B$2)</f>
        <v>2</v>
      </c>
      <c r="E5" s="11" t="n">
        <f aca="false">SUM(B5:D5)</f>
        <v>9</v>
      </c>
      <c r="F5" s="11" t="n">
        <f aca="false">COUNTIFS(Entries!$D:$D,1,Entries!$H:$H,"Uncertain",Entries!$B:$B,$B$2)</f>
        <v>0</v>
      </c>
    </row>
    <row r="6" customFormat="false" ht="15" hidden="false" customHeight="false" outlineLevel="0" collapsed="false">
      <c r="A6" s="11" t="s">
        <v>128</v>
      </c>
      <c r="B6" s="11" t="n">
        <f aca="false">COUNTIFS(Entries!$D:$D,2,Entries!$F:$F,B$4,Entries!$B:$B,$B$2)</f>
        <v>3</v>
      </c>
      <c r="C6" s="11" t="n">
        <f aca="false">COUNTIFS(Entries!$D:$D,2,Entries!$F:$F,C$4,Entries!$B:$B,$B$2)</f>
        <v>4</v>
      </c>
      <c r="D6" s="11" t="n">
        <f aca="false">COUNTIFS(Entries!$D:$D,2,Entries!$F:$F,D$4,Entries!$B:$B,$B$2)</f>
        <v>2</v>
      </c>
      <c r="E6" s="11" t="n">
        <f aca="false">SUM(B6:D6)</f>
        <v>9</v>
      </c>
      <c r="F6" s="11" t="n">
        <f aca="false">COUNTIFS(Entries!$D:$D,2,Entries!$H:$H,"Uncertain",Entries!$B:$B,$B$2)</f>
        <v>3</v>
      </c>
    </row>
    <row r="7" customFormat="false" ht="15" hidden="false" customHeight="false" outlineLevel="0" collapsed="false">
      <c r="A7" s="11" t="s">
        <v>129</v>
      </c>
      <c r="B7" s="11" t="n">
        <f aca="false">COUNTIFS(Entries!$D:$D,3,Entries!$F:$F,B$4,Entries!$B:$B,$B$2)</f>
        <v>2</v>
      </c>
      <c r="C7" s="11" t="n">
        <f aca="false">COUNTIFS(Entries!$D:$D,3,Entries!$F:$F,C$4,Entries!$B:$B,$B$2)</f>
        <v>2</v>
      </c>
      <c r="D7" s="11" t="n">
        <f aca="false">COUNTIFS(Entries!$D:$D,3,Entries!$F:$F,D$4,Entries!$B:$B,$B$2)</f>
        <v>4</v>
      </c>
      <c r="E7" s="11" t="n">
        <f aca="false">SUM(B7:D7)</f>
        <v>8</v>
      </c>
      <c r="F7" s="11" t="n">
        <f aca="false">COUNTIFS(Entries!$D:$D,3,Entries!$H:$H,"Uncertain",Entries!$B:$B,$B$2)</f>
        <v>2</v>
      </c>
    </row>
    <row r="8" customFormat="false" ht="15" hidden="false" customHeight="false" outlineLevel="0" collapsed="false">
      <c r="A8" s="11" t="s">
        <v>130</v>
      </c>
      <c r="B8" s="11" t="n">
        <f aca="false">COUNTIFS(Entries!$D:$D,4,Entries!$F:$F,B$4,Entries!$B:$B,$B$2)</f>
        <v>5</v>
      </c>
      <c r="C8" s="11" t="n">
        <f aca="false">COUNTIFS(Entries!$D:$D,4,Entries!$F:$F,C$4,Entries!$B:$B,$B$2)</f>
        <v>3</v>
      </c>
      <c r="D8" s="11" t="n">
        <f aca="false">COUNTIFS(Entries!$D:$D,4,Entries!$F:$F,D$4,Entries!$B:$B,$B$2)</f>
        <v>5</v>
      </c>
      <c r="E8" s="11" t="n">
        <f aca="false">SUM(B8:D8)</f>
        <v>13</v>
      </c>
      <c r="F8" s="11" t="n">
        <f aca="false">COUNTIFS(Entries!$D:$D,4,Entries!$H:$H,"Uncertain",Entries!$B:$B,$B$2)</f>
        <v>2</v>
      </c>
    </row>
    <row r="9" customFormat="false" ht="15" hidden="false" customHeight="false" outlineLevel="0" collapsed="false">
      <c r="A9" s="12" t="s">
        <v>126</v>
      </c>
      <c r="B9" s="12" t="n">
        <f aca="false">SUM(B5:B8)</f>
        <v>12</v>
      </c>
      <c r="C9" s="12" t="n">
        <f aca="false">SUM(C5:C8)</f>
        <v>14</v>
      </c>
      <c r="D9" s="12" t="n">
        <f aca="false">SUM(D5:D8)</f>
        <v>13</v>
      </c>
      <c r="E9" s="12" t="n">
        <f aca="false">SUM(E5:E8)</f>
        <v>39</v>
      </c>
      <c r="F9" s="12" t="n">
        <f aca="false">SUM(F5:F8)</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3" t="s">
        <v>131</v>
      </c>
    </row>
    <row r="2" customFormat="false" ht="15" hidden="false" customHeight="false" outlineLevel="0" collapsed="false">
      <c r="A2" s="13" t="s">
        <v>132</v>
      </c>
    </row>
    <row r="3" customFormat="false" ht="15" hidden="false" customHeight="false" outlineLevel="0" collapsed="false">
      <c r="A3" s="13" t="s">
        <v>133</v>
      </c>
    </row>
    <row r="4" customFormat="false" ht="15" hidden="false" customHeight="false" outlineLevel="0" collapsed="false">
      <c r="A4" s="13" t="s">
        <v>134</v>
      </c>
    </row>
    <row r="5" customFormat="false" ht="23.85" hidden="false" customHeight="false" outlineLevel="0" collapsed="false">
      <c r="A5" s="13" t="s">
        <v>135</v>
      </c>
    </row>
    <row r="6" customFormat="false" ht="15" hidden="false" customHeight="false" outlineLevel="0" collapsed="false">
      <c r="A6" s="13"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2026-10-01T10:28:28Z</dcterms:created>
  <dc:creator>openpyxl</dc:creator>
  <dc:description/>
  <dc:language>en-US</dc:language>
  <cp:lastModifiedBy/>
  <dcterms:modified xsi:type="dcterms:W3CDTF">2026-10-01T10:28:28Z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